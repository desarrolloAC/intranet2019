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rrizalez\Documents\FORMATOS ACTUALIZADOS 05.04.2018\"/>
    </mc:Choice>
  </mc:AlternateContent>
  <bookViews>
    <workbookView xWindow="0" yWindow="0" windowWidth="20490" windowHeight="7455"/>
  </bookViews>
  <sheets>
    <sheet name="PROPUESTA (2)" sheetId="1" r:id="rId1"/>
  </sheets>
  <definedNames>
    <definedName name="_xlnm.Print_Area" localSheetId="0">'PROPUESTA (2)'!$A$1:$I$42</definedName>
  </definedNames>
  <calcPr calcId="152511"/>
</workbook>
</file>

<file path=xl/calcChain.xml><?xml version="1.0" encoding="utf-8"?>
<calcChain xmlns="http://schemas.openxmlformats.org/spreadsheetml/2006/main">
  <c r="H26" i="1" l="1"/>
  <c r="I26" i="1" s="1"/>
  <c r="G33" i="1" l="1"/>
  <c r="A34" i="1" s="1"/>
  <c r="D33" i="1" l="1"/>
</calcChain>
</file>

<file path=xl/sharedStrings.xml><?xml version="1.0" encoding="utf-8"?>
<sst xmlns="http://schemas.openxmlformats.org/spreadsheetml/2006/main" count="50" uniqueCount="49">
  <si>
    <t>Periodo:</t>
  </si>
  <si>
    <t>Cargo:</t>
  </si>
  <si>
    <t>Capacitaciones recibidas:</t>
  </si>
  <si>
    <t>Aspectos</t>
  </si>
  <si>
    <t>Resultado</t>
  </si>
  <si>
    <t>Observación</t>
  </si>
  <si>
    <t>La responsabilidad en el desarrollo de las actividades  de su puesto de trabajo ha sido:</t>
  </si>
  <si>
    <t>La actitud del evaluado con respecto al trabajo que desempeña cotidianamente es:</t>
  </si>
  <si>
    <t>ESCALA DE CALIFICACIÓN</t>
  </si>
  <si>
    <t>PUNTOS</t>
  </si>
  <si>
    <t>Eficaz</t>
  </si>
  <si>
    <t xml:space="preserve"> el desempeño es satisfactorio.</t>
  </si>
  <si>
    <t>No eficaz</t>
  </si>
  <si>
    <t xml:space="preserve"> el desempeño no es aprobado requiere nuevamente capacitación.</t>
  </si>
  <si>
    <t>Conclusión:</t>
  </si>
  <si>
    <t>En la evaluación realizada se obtuvo un resultado de</t>
  </si>
  <si>
    <t xml:space="preserve">por lo antes expuesto, se concluye que: </t>
  </si>
  <si>
    <t>Firma del evaluador:___________________________________________________</t>
  </si>
  <si>
    <t>Fecha de evaluación:________________________</t>
  </si>
  <si>
    <t>Los parámetros de evaluación y sus correspondientes valores son los siguiente:</t>
  </si>
  <si>
    <t>Ítem</t>
  </si>
  <si>
    <r>
      <rPr>
        <b/>
        <sz val="11"/>
        <color theme="1"/>
        <rFont val="Calibri"/>
        <family val="2"/>
        <scheme val="minor"/>
      </rPr>
      <t>Código:</t>
    </r>
    <r>
      <rPr>
        <sz val="11"/>
        <color theme="1"/>
        <rFont val="Calibri"/>
        <family val="2"/>
        <scheme val="minor"/>
      </rPr>
      <t xml:space="preserve"> F-GH-010</t>
    </r>
  </si>
  <si>
    <t>Valor</t>
  </si>
  <si>
    <t>18-20</t>
  </si>
  <si>
    <t>15-17</t>
  </si>
  <si>
    <t>13-14</t>
  </si>
  <si>
    <t>0-12</t>
  </si>
  <si>
    <t>Nombre del colaborador:</t>
  </si>
  <si>
    <r>
      <rPr>
        <b/>
        <i/>
        <sz val="12"/>
        <color theme="1"/>
        <rFont val="Calibri"/>
        <family val="2"/>
        <scheme val="minor"/>
      </rPr>
      <t>Sobresaliente:</t>
    </r>
    <r>
      <rPr>
        <i/>
        <sz val="12"/>
        <color theme="1"/>
        <rFont val="Calibri"/>
        <family val="2"/>
        <scheme val="minor"/>
      </rPr>
      <t xml:space="preserve"> El desempeño sobresaliente representa los valores de resultado que superan las expectativas.</t>
    </r>
  </si>
  <si>
    <r>
      <rPr>
        <b/>
        <i/>
        <sz val="12"/>
        <color theme="1"/>
        <rFont val="Calibri"/>
        <family val="2"/>
        <scheme val="minor"/>
      </rPr>
      <t xml:space="preserve">Satisfactorio: </t>
    </r>
    <r>
      <rPr>
        <i/>
        <sz val="12"/>
        <color theme="1"/>
        <rFont val="Calibri"/>
        <family val="2"/>
        <scheme val="minor"/>
      </rPr>
      <t>El desempeño satisfactorio representa el valor aprobatorio que implica el cumplimiento de lo esperando</t>
    </r>
  </si>
  <si>
    <r>
      <rPr>
        <b/>
        <i/>
        <sz val="12"/>
        <color theme="1"/>
        <rFont val="Calibri"/>
        <family val="2"/>
        <scheme val="minor"/>
      </rPr>
      <t xml:space="preserve">Instrucción: </t>
    </r>
    <r>
      <rPr>
        <i/>
        <sz val="12"/>
        <color theme="1"/>
        <rFont val="Calibri"/>
        <family val="2"/>
        <scheme val="minor"/>
      </rPr>
      <t>La presente evaluación tiene como objetivo determinar el nivel de desempeño del personal, respecto a las actividades de capacitación y sensibilización en las que participo durante el periodo evaluado. Esta información servirá para mejorar la calidad, eficiencia y eficacia de los ejercicios de capacitación, por lo que su valoración es de gran importancia para continuar con el proceso de desarrollo del personal.</t>
    </r>
  </si>
  <si>
    <t>Indique el resultado que mejor refleje su opinión frente a las siguientes aspectos:</t>
  </si>
  <si>
    <t>El desempeño de las funciones del evaluado después de las capacitaciones ha sido:</t>
  </si>
  <si>
    <t>La calidad del trabajo y los  resultados en el desarrollo de las actividades  de su puesto de trabajo ha sido:</t>
  </si>
  <si>
    <t>La seguridad del evaluado para responder a situaciones eventuales es:</t>
  </si>
  <si>
    <t>5 - 9,99</t>
  </si>
  <si>
    <t>15 - 20</t>
  </si>
  <si>
    <t xml:space="preserve">puntos.  Lo cual califica como  </t>
  </si>
  <si>
    <t>10 - 14,99</t>
  </si>
  <si>
    <t>Eficaz con observación</t>
  </si>
  <si>
    <t xml:space="preserve"> el desempeño es aprobado, solo requiere reforzar conocimiento y poner en practica.</t>
  </si>
  <si>
    <t>EVALUACION DE IMPACTO</t>
  </si>
  <si>
    <t>Comentarios:</t>
  </si>
  <si>
    <t>Revisión: 2</t>
  </si>
  <si>
    <t>Alkes Corp, S.A.</t>
  </si>
  <si>
    <t>IEC</t>
  </si>
  <si>
    <r>
      <rPr>
        <b/>
        <i/>
        <sz val="12"/>
        <color theme="1"/>
        <rFont val="Calibri"/>
        <family val="2"/>
        <scheme val="minor"/>
      </rPr>
      <t>Mínimo Aprobatorio:</t>
    </r>
    <r>
      <rPr>
        <i/>
        <sz val="12"/>
        <color theme="1"/>
        <rFont val="Calibri"/>
        <family val="2"/>
        <scheme val="minor"/>
      </rPr>
      <t xml:space="preserve"> El desempeño mínimo aprobatorio representa el valor aprobatorio que implica un cumplimiento por debajo de lo esperado.</t>
    </r>
  </si>
  <si>
    <r>
      <rPr>
        <b/>
        <i/>
        <sz val="12"/>
        <color theme="1"/>
        <rFont val="Calibri"/>
        <family val="2"/>
        <scheme val="minor"/>
      </rPr>
      <t>No aprobado</t>
    </r>
    <r>
      <rPr>
        <i/>
        <sz val="12"/>
        <color theme="1"/>
        <rFont val="Calibri"/>
        <family val="2"/>
        <scheme val="minor"/>
      </rPr>
      <t>: Cualquier valor que no cumple con el mínimo aprobatorio será considerado desempeño no aprobatorio.</t>
    </r>
  </si>
  <si>
    <r>
      <rPr>
        <b/>
        <sz val="11"/>
        <color theme="1"/>
        <rFont val="Calibri"/>
        <family val="2"/>
        <scheme val="minor"/>
      </rPr>
      <t xml:space="preserve">Fecha: </t>
    </r>
    <r>
      <rPr>
        <sz val="11"/>
        <color theme="1"/>
        <rFont val="Calibri"/>
        <family val="2"/>
        <scheme val="minor"/>
      </rPr>
      <t>09/11/2018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</si>
</sst>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Tahoma"/>
      <family val="2"/>
    </font>
    <font>
      <b/>
      <i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0"/>
      <color theme="1"/>
      <name val="Tahoma"/>
      <family val="2"/>
    </font>
    <font>
      <b/>
      <i/>
      <sz val="11"/>
      <color theme="1"/>
      <name val="Tahoma"/>
      <family val="2"/>
    </font>
    <font>
      <b/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-0.249977111117893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Border="1" applyAlignment="1"/>
    <xf numFmtId="0" fontId="5" fillId="0" borderId="0" xfId="0" applyFont="1" applyBorder="1" applyAlignment="1"/>
    <xf numFmtId="0" fontId="7" fillId="0" borderId="0" xfId="0" applyFont="1"/>
    <xf numFmtId="0" fontId="9" fillId="0" borderId="0" xfId="0" applyFont="1"/>
    <xf numFmtId="0" fontId="9" fillId="0" borderId="10" xfId="0" applyFont="1" applyBorder="1"/>
    <xf numFmtId="0" fontId="10" fillId="0" borderId="0" xfId="0" applyFont="1"/>
    <xf numFmtId="0" fontId="9" fillId="0" borderId="0" xfId="0" applyFont="1" applyAlignment="1">
      <alignment horizontal="center"/>
    </xf>
    <xf numFmtId="0" fontId="11" fillId="0" borderId="0" xfId="0" applyFont="1"/>
    <xf numFmtId="1" fontId="12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vertical="center"/>
    </xf>
    <xf numFmtId="0" fontId="12" fillId="0" borderId="0" xfId="0" applyFont="1" applyBorder="1" applyAlignment="1"/>
    <xf numFmtId="0" fontId="10" fillId="0" borderId="35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2" fontId="13" fillId="0" borderId="19" xfId="0" applyNumberFormat="1" applyFont="1" applyBorder="1" applyAlignment="1">
      <alignment horizontal="center" vertical="center"/>
    </xf>
    <xf numFmtId="1" fontId="10" fillId="0" borderId="19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0" fillId="0" borderId="3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Border="1"/>
    <xf numFmtId="0" fontId="13" fillId="0" borderId="0" xfId="0" applyFont="1"/>
    <xf numFmtId="0" fontId="10" fillId="0" borderId="0" xfId="0" applyFont="1" applyBorder="1"/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7" fillId="0" borderId="37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0" fillId="0" borderId="5" xfId="0" applyBorder="1" applyAlignment="1">
      <alignment horizontal="left"/>
    </xf>
    <xf numFmtId="0" fontId="0" fillId="0" borderId="15" xfId="0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7" fillId="0" borderId="32" xfId="0" applyFont="1" applyBorder="1" applyAlignment="1">
      <alignment horizontal="center" vertical="center"/>
    </xf>
    <xf numFmtId="0" fontId="15" fillId="2" borderId="50" xfId="0" applyFont="1" applyFill="1" applyBorder="1" applyAlignment="1">
      <alignment horizontal="center" vertical="center" wrapText="1"/>
    </xf>
    <xf numFmtId="0" fontId="19" fillId="3" borderId="0" xfId="1" applyFont="1" applyFill="1" applyBorder="1" applyAlignment="1" applyProtection="1">
      <alignment horizontal="center" vertical="center" wrapText="1"/>
      <protection locked="0"/>
    </xf>
    <xf numFmtId="49" fontId="19" fillId="3" borderId="0" xfId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/>
    <xf numFmtId="0" fontId="10" fillId="0" borderId="33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" fillId="0" borderId="10" xfId="0" applyFont="1" applyBorder="1" applyAlignment="1">
      <alignment horizontal="left"/>
    </xf>
    <xf numFmtId="0" fontId="6" fillId="4" borderId="23" xfId="0" applyFont="1" applyFill="1" applyBorder="1" applyAlignment="1">
      <alignment horizontal="center"/>
    </xf>
    <xf numFmtId="0" fontId="6" fillId="4" borderId="42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2" fontId="8" fillId="4" borderId="49" xfId="0" applyNumberFormat="1" applyFont="1" applyFill="1" applyBorder="1" applyAlignment="1">
      <alignment horizontal="center" vertical="center"/>
    </xf>
    <xf numFmtId="0" fontId="9" fillId="0" borderId="35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left"/>
    </xf>
    <xf numFmtId="0" fontId="6" fillId="4" borderId="17" xfId="0" applyFont="1" applyFill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6" fillId="4" borderId="20" xfId="0" applyFont="1" applyFill="1" applyBorder="1" applyAlignment="1">
      <alignment horizontal="left"/>
    </xf>
    <xf numFmtId="0" fontId="6" fillId="4" borderId="21" xfId="0" applyFont="1" applyFill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14" fillId="2" borderId="8" xfId="0" applyFont="1" applyFill="1" applyBorder="1" applyAlignment="1">
      <alignment horizontal="left" vertical="center" wrapText="1"/>
    </xf>
    <xf numFmtId="0" fontId="6" fillId="4" borderId="24" xfId="0" applyFont="1" applyFill="1" applyBorder="1" applyAlignment="1">
      <alignment horizontal="left" vertical="center"/>
    </xf>
    <xf numFmtId="0" fontId="6" fillId="4" borderId="25" xfId="0" applyFont="1" applyFill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left" vertical="top" wrapText="1"/>
    </xf>
    <xf numFmtId="0" fontId="10" fillId="0" borderId="30" xfId="0" applyFont="1" applyBorder="1" applyAlignment="1">
      <alignment horizontal="left" vertical="top" wrapText="1"/>
    </xf>
    <xf numFmtId="0" fontId="10" fillId="0" borderId="31" xfId="0" applyFont="1" applyBorder="1" applyAlignment="1">
      <alignment horizontal="left" vertical="top" wrapText="1"/>
    </xf>
    <xf numFmtId="0" fontId="8" fillId="4" borderId="29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left" vertical="center" wrapText="1"/>
    </xf>
    <xf numFmtId="0" fontId="6" fillId="4" borderId="2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41" xfId="0" applyFont="1" applyBorder="1" applyAlignment="1">
      <alignment horizontal="left" vertical="center" wrapText="1"/>
    </xf>
    <xf numFmtId="0" fontId="18" fillId="3" borderId="33" xfId="1" applyFont="1" applyFill="1" applyBorder="1" applyAlignment="1" applyProtection="1">
      <alignment horizontal="center" vertical="center" wrapText="1"/>
      <protection locked="0"/>
    </xf>
    <xf numFmtId="0" fontId="18" fillId="3" borderId="34" xfId="1" applyFont="1" applyFill="1" applyBorder="1" applyAlignment="1" applyProtection="1">
      <alignment horizontal="center" vertical="center" wrapText="1"/>
      <protection locked="0"/>
    </xf>
    <xf numFmtId="49" fontId="18" fillId="3" borderId="12" xfId="1" applyNumberFormat="1" applyFont="1" applyFill="1" applyBorder="1" applyAlignment="1" applyProtection="1">
      <alignment horizontal="center" vertical="center"/>
      <protection locked="0"/>
    </xf>
    <xf numFmtId="49" fontId="18" fillId="3" borderId="15" xfId="1" applyNumberFormat="1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left" vertical="center" wrapText="1"/>
    </xf>
    <xf numFmtId="0" fontId="17" fillId="4" borderId="29" xfId="1" applyFont="1" applyFill="1" applyBorder="1" applyAlignment="1" applyProtection="1">
      <alignment horizontal="center" vertical="center" wrapText="1"/>
      <protection locked="0"/>
    </xf>
    <xf numFmtId="0" fontId="17" fillId="4" borderId="48" xfId="1" applyFont="1" applyFill="1" applyBorder="1" applyAlignment="1" applyProtection="1">
      <alignment horizontal="center" vertical="center" wrapText="1"/>
      <protection locked="0"/>
    </xf>
    <xf numFmtId="0" fontId="17" fillId="4" borderId="40" xfId="1" applyFont="1" applyFill="1" applyBorder="1" applyAlignment="1" applyProtection="1">
      <alignment horizontal="center" vertical="center" wrapText="1"/>
      <protection locked="0"/>
    </xf>
    <xf numFmtId="0" fontId="17" fillId="4" borderId="31" xfId="1" applyFont="1" applyFill="1" applyBorder="1" applyAlignment="1" applyProtection="1">
      <alignment horizontal="center" vertical="center" wrapText="1"/>
      <protection locked="0"/>
    </xf>
    <xf numFmtId="0" fontId="18" fillId="3" borderId="37" xfId="1" applyFont="1" applyFill="1" applyBorder="1" applyAlignment="1" applyProtection="1">
      <alignment horizontal="center" vertical="center" wrapText="1"/>
      <protection locked="0"/>
    </xf>
    <xf numFmtId="0" fontId="18" fillId="3" borderId="38" xfId="1" applyFont="1" applyFill="1" applyBorder="1" applyAlignment="1" applyProtection="1">
      <alignment horizontal="center" vertical="center" wrapText="1"/>
      <protection locked="0"/>
    </xf>
    <xf numFmtId="0" fontId="18" fillId="3" borderId="46" xfId="1" applyFont="1" applyFill="1" applyBorder="1" applyAlignment="1" applyProtection="1">
      <alignment horizontal="center" vertical="center"/>
      <protection locked="0"/>
    </xf>
    <xf numFmtId="0" fontId="18" fillId="3" borderId="47" xfId="1" applyFont="1" applyFill="1" applyBorder="1" applyAlignment="1" applyProtection="1">
      <alignment horizontal="center" vertical="center"/>
      <protection locked="0"/>
    </xf>
    <xf numFmtId="0" fontId="10" fillId="0" borderId="27" xfId="0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showGridLines="0" tabSelected="1" zoomScale="89" zoomScaleNormal="89" workbookViewId="0">
      <selection activeCell="I4" sqref="I4"/>
    </sheetView>
  </sheetViews>
  <sheetFormatPr baseColWidth="10" defaultRowHeight="15" x14ac:dyDescent="0.25"/>
  <cols>
    <col min="1" max="1" width="7.28515625" style="1" customWidth="1"/>
    <col min="2" max="2" width="19.85546875" customWidth="1"/>
    <col min="3" max="3" width="21.5703125" customWidth="1"/>
    <col min="4" max="4" width="8.5703125" customWidth="1"/>
    <col min="5" max="5" width="13.140625" customWidth="1"/>
    <col min="6" max="6" width="13.85546875" customWidth="1"/>
    <col min="7" max="7" width="22.42578125" customWidth="1"/>
    <col min="8" max="8" width="9.85546875" customWidth="1"/>
    <col min="9" max="9" width="32.7109375" customWidth="1"/>
  </cols>
  <sheetData>
    <row r="1" spans="1:16" ht="16.5" customHeight="1" x14ac:dyDescent="0.25">
      <c r="A1" s="59"/>
      <c r="B1" s="60"/>
      <c r="C1" s="65" t="s">
        <v>41</v>
      </c>
      <c r="D1" s="66"/>
      <c r="E1" s="66"/>
      <c r="F1" s="66"/>
      <c r="G1" s="66"/>
      <c r="H1" s="67"/>
      <c r="I1" s="33" t="s">
        <v>21</v>
      </c>
    </row>
    <row r="2" spans="1:16" ht="16.5" customHeight="1" x14ac:dyDescent="0.25">
      <c r="A2" s="61"/>
      <c r="B2" s="62"/>
      <c r="C2" s="68"/>
      <c r="D2" s="69"/>
      <c r="E2" s="69"/>
      <c r="F2" s="69"/>
      <c r="G2" s="69"/>
      <c r="H2" s="70"/>
      <c r="I2" s="44" t="s">
        <v>43</v>
      </c>
      <c r="P2" t="s">
        <v>44</v>
      </c>
    </row>
    <row r="3" spans="1:16" ht="16.5" customHeight="1" thickBot="1" x14ac:dyDescent="0.3">
      <c r="A3" s="63"/>
      <c r="B3" s="64"/>
      <c r="C3" s="71"/>
      <c r="D3" s="72"/>
      <c r="E3" s="72"/>
      <c r="F3" s="72"/>
      <c r="G3" s="72"/>
      <c r="H3" s="73"/>
      <c r="I3" s="34" t="s">
        <v>48</v>
      </c>
      <c r="P3" t="s">
        <v>45</v>
      </c>
    </row>
    <row r="5" spans="1:16" ht="15.75" thickBot="1" x14ac:dyDescent="0.3"/>
    <row r="6" spans="1:16" s="5" customFormat="1" ht="16.5" thickBot="1" x14ac:dyDescent="0.3">
      <c r="A6" s="74" t="s">
        <v>0</v>
      </c>
      <c r="B6" s="75"/>
      <c r="C6" s="76"/>
      <c r="D6" s="77"/>
      <c r="E6" s="77"/>
      <c r="F6" s="77"/>
      <c r="G6" s="77"/>
      <c r="H6" s="78"/>
      <c r="I6" s="79"/>
    </row>
    <row r="7" spans="1:16" s="5" customFormat="1" ht="16.5" thickBot="1" x14ac:dyDescent="0.3">
      <c r="A7" s="80" t="s">
        <v>27</v>
      </c>
      <c r="B7" s="81"/>
      <c r="C7" s="82"/>
      <c r="D7" s="83"/>
      <c r="E7" s="83"/>
      <c r="F7" s="83"/>
      <c r="G7" s="83"/>
      <c r="H7" s="45" t="s">
        <v>1</v>
      </c>
      <c r="I7" s="6"/>
    </row>
    <row r="8" spans="1:16" s="22" customFormat="1" ht="30.75" customHeight="1" thickBot="1" x14ac:dyDescent="0.3">
      <c r="A8" s="85" t="s">
        <v>2</v>
      </c>
      <c r="B8" s="86"/>
      <c r="C8" s="87"/>
      <c r="D8" s="88"/>
      <c r="E8" s="88"/>
      <c r="F8" s="88"/>
      <c r="G8" s="88"/>
      <c r="H8" s="88"/>
      <c r="I8" s="89"/>
    </row>
    <row r="9" spans="1:16" ht="15.75" thickBot="1" x14ac:dyDescent="0.3"/>
    <row r="10" spans="1:16" s="5" customFormat="1" ht="59.25" customHeight="1" thickBot="1" x14ac:dyDescent="0.3">
      <c r="A10" s="90" t="s">
        <v>30</v>
      </c>
      <c r="B10" s="91"/>
      <c r="C10" s="91"/>
      <c r="D10" s="91"/>
      <c r="E10" s="91"/>
      <c r="F10" s="91"/>
      <c r="G10" s="91"/>
      <c r="H10" s="91"/>
      <c r="I10" s="92"/>
    </row>
    <row r="11" spans="1:16" ht="15.75" thickBot="1" x14ac:dyDescent="0.3"/>
    <row r="12" spans="1:16" s="5" customFormat="1" ht="19.5" thickBot="1" x14ac:dyDescent="0.3">
      <c r="A12" s="93" t="s">
        <v>19</v>
      </c>
      <c r="B12" s="94"/>
      <c r="C12" s="94"/>
      <c r="D12" s="94"/>
      <c r="E12" s="94"/>
      <c r="F12" s="94"/>
      <c r="G12" s="94"/>
      <c r="H12" s="94"/>
      <c r="I12" s="95"/>
    </row>
    <row r="13" spans="1:16" s="7" customFormat="1" ht="16.5" thickBot="1" x14ac:dyDescent="0.3">
      <c r="A13" s="99"/>
      <c r="B13" s="97"/>
      <c r="C13" s="97"/>
      <c r="D13" s="97"/>
      <c r="E13" s="97"/>
      <c r="F13" s="97"/>
      <c r="G13" s="97"/>
      <c r="H13" s="97"/>
      <c r="I13" s="46" t="s">
        <v>22</v>
      </c>
    </row>
    <row r="14" spans="1:16" s="22" customFormat="1" ht="27.75" customHeight="1" x14ac:dyDescent="0.25">
      <c r="A14" s="100" t="s">
        <v>28</v>
      </c>
      <c r="B14" s="101"/>
      <c r="C14" s="101"/>
      <c r="D14" s="101"/>
      <c r="E14" s="101"/>
      <c r="F14" s="101"/>
      <c r="G14" s="101"/>
      <c r="H14" s="101"/>
      <c r="I14" s="26" t="s">
        <v>23</v>
      </c>
    </row>
    <row r="15" spans="1:16" s="22" customFormat="1" ht="27.75" customHeight="1" x14ac:dyDescent="0.25">
      <c r="A15" s="102" t="s">
        <v>29</v>
      </c>
      <c r="B15" s="103"/>
      <c r="C15" s="103"/>
      <c r="D15" s="103"/>
      <c r="E15" s="103"/>
      <c r="F15" s="103"/>
      <c r="G15" s="103"/>
      <c r="H15" s="103"/>
      <c r="I15" s="27" t="s">
        <v>24</v>
      </c>
    </row>
    <row r="16" spans="1:16" s="22" customFormat="1" ht="30.75" customHeight="1" x14ac:dyDescent="0.25">
      <c r="A16" s="102" t="s">
        <v>46</v>
      </c>
      <c r="B16" s="103"/>
      <c r="C16" s="103"/>
      <c r="D16" s="103"/>
      <c r="E16" s="103"/>
      <c r="F16" s="103"/>
      <c r="G16" s="103"/>
      <c r="H16" s="103"/>
      <c r="I16" s="27" t="s">
        <v>25</v>
      </c>
    </row>
    <row r="17" spans="1:13" s="22" customFormat="1" ht="27.75" customHeight="1" thickBot="1" x14ac:dyDescent="0.3">
      <c r="A17" s="104" t="s">
        <v>47</v>
      </c>
      <c r="B17" s="105"/>
      <c r="C17" s="105"/>
      <c r="D17" s="105"/>
      <c r="E17" s="105"/>
      <c r="F17" s="105"/>
      <c r="G17" s="105"/>
      <c r="H17" s="105"/>
      <c r="I17" s="28" t="s">
        <v>26</v>
      </c>
    </row>
    <row r="18" spans="1:13" s="5" customFormat="1" x14ac:dyDescent="0.25">
      <c r="A18" s="29"/>
      <c r="B18" s="23"/>
      <c r="C18" s="23"/>
      <c r="D18" s="23"/>
      <c r="E18" s="23"/>
      <c r="F18" s="23"/>
      <c r="G18" s="23"/>
      <c r="H18" s="23"/>
      <c r="I18" s="23"/>
    </row>
    <row r="19" spans="1:13" s="5" customFormat="1" ht="16.5" thickBot="1" x14ac:dyDescent="0.3">
      <c r="A19" s="119" t="s">
        <v>31</v>
      </c>
      <c r="B19" s="119"/>
      <c r="C19" s="119"/>
      <c r="D19" s="119"/>
      <c r="E19" s="119"/>
      <c r="F19" s="119"/>
      <c r="G19" s="119"/>
      <c r="H19" s="119"/>
      <c r="I19" s="119"/>
    </row>
    <row r="20" spans="1:13" s="4" customFormat="1" ht="16.5" thickBot="1" x14ac:dyDescent="0.3">
      <c r="A20" s="47" t="s">
        <v>20</v>
      </c>
      <c r="B20" s="96" t="s">
        <v>3</v>
      </c>
      <c r="C20" s="97"/>
      <c r="D20" s="97"/>
      <c r="E20" s="97"/>
      <c r="F20" s="97"/>
      <c r="G20" s="97"/>
      <c r="H20" s="48" t="s">
        <v>4</v>
      </c>
      <c r="I20" s="49" t="s">
        <v>5</v>
      </c>
    </row>
    <row r="21" spans="1:13" s="22" customFormat="1" ht="33" customHeight="1" thickBot="1" x14ac:dyDescent="0.3">
      <c r="A21" s="35">
        <v>1</v>
      </c>
      <c r="B21" s="98" t="s">
        <v>32</v>
      </c>
      <c r="C21" s="98"/>
      <c r="D21" s="98"/>
      <c r="E21" s="98"/>
      <c r="F21" s="98"/>
      <c r="G21" s="98"/>
      <c r="H21" s="38"/>
      <c r="I21" s="36"/>
    </row>
    <row r="22" spans="1:13" s="22" customFormat="1" ht="33" customHeight="1" thickBot="1" x14ac:dyDescent="0.3">
      <c r="A22" s="30">
        <v>2</v>
      </c>
      <c r="B22" s="84" t="s">
        <v>33</v>
      </c>
      <c r="C22" s="84"/>
      <c r="D22" s="84"/>
      <c r="E22" s="84"/>
      <c r="F22" s="84"/>
      <c r="G22" s="84"/>
      <c r="H22" s="38"/>
      <c r="I22" s="31"/>
    </row>
    <row r="23" spans="1:13" s="22" customFormat="1" ht="33" customHeight="1" thickBot="1" x14ac:dyDescent="0.3">
      <c r="A23" s="30">
        <v>3</v>
      </c>
      <c r="B23" s="84" t="s">
        <v>6</v>
      </c>
      <c r="C23" s="84"/>
      <c r="D23" s="84"/>
      <c r="E23" s="84"/>
      <c r="F23" s="84"/>
      <c r="G23" s="84"/>
      <c r="H23" s="38"/>
      <c r="I23" s="31"/>
    </row>
    <row r="24" spans="1:13" s="22" customFormat="1" ht="33" customHeight="1" thickBot="1" x14ac:dyDescent="0.3">
      <c r="A24" s="30">
        <v>4</v>
      </c>
      <c r="B24" s="84" t="s">
        <v>7</v>
      </c>
      <c r="C24" s="84"/>
      <c r="D24" s="84"/>
      <c r="E24" s="84"/>
      <c r="F24" s="84"/>
      <c r="G24" s="84"/>
      <c r="H24" s="38"/>
      <c r="I24" s="31"/>
    </row>
    <row r="25" spans="1:13" s="22" customFormat="1" ht="33" customHeight="1" thickBot="1" x14ac:dyDescent="0.3">
      <c r="A25" s="37">
        <v>5</v>
      </c>
      <c r="B25" s="110" t="s">
        <v>34</v>
      </c>
      <c r="C25" s="110"/>
      <c r="D25" s="110"/>
      <c r="E25" s="110"/>
      <c r="F25" s="110"/>
      <c r="G25" s="110"/>
      <c r="H25" s="38"/>
      <c r="I25" s="32"/>
    </row>
    <row r="26" spans="1:13" s="5" customFormat="1" ht="19.5" thickBot="1" x14ac:dyDescent="0.3">
      <c r="A26" s="8"/>
      <c r="G26" s="50" t="s">
        <v>4</v>
      </c>
      <c r="H26" s="51">
        <f>SUM(H21:H25)/5</f>
        <v>0</v>
      </c>
      <c r="I26" s="9" t="str">
        <f>IF(H26&lt;5,"",IF(H26&lt;9.99,$A$30,IF(H26&lt;14.99,$A$29,IF(H26&gt;14.99,$A$28,IF(H26,0,"'")))))</f>
        <v/>
      </c>
    </row>
    <row r="27" spans="1:13" s="5" customFormat="1" ht="19.5" customHeight="1" thickBot="1" x14ac:dyDescent="0.35">
      <c r="A27" s="111" t="s">
        <v>8</v>
      </c>
      <c r="B27" s="112"/>
      <c r="C27" s="113" t="s">
        <v>9</v>
      </c>
      <c r="D27" s="114"/>
      <c r="F27" s="2"/>
      <c r="G27" s="2"/>
    </row>
    <row r="28" spans="1:13" s="5" customFormat="1" ht="18.75" customHeight="1" x14ac:dyDescent="0.3">
      <c r="A28" s="115" t="s">
        <v>10</v>
      </c>
      <c r="B28" s="116"/>
      <c r="C28" s="117" t="s">
        <v>36</v>
      </c>
      <c r="D28" s="118"/>
      <c r="E28" s="9" t="s">
        <v>11</v>
      </c>
      <c r="F28" s="10"/>
      <c r="G28" s="11"/>
    </row>
    <row r="29" spans="1:13" s="5" customFormat="1" ht="22.5" customHeight="1" thickBot="1" x14ac:dyDescent="0.35">
      <c r="A29" s="106" t="s">
        <v>39</v>
      </c>
      <c r="B29" s="107"/>
      <c r="C29" s="108" t="s">
        <v>38</v>
      </c>
      <c r="D29" s="109"/>
      <c r="E29" s="9" t="s">
        <v>40</v>
      </c>
      <c r="F29" s="12"/>
      <c r="G29" s="12"/>
    </row>
    <row r="30" spans="1:13" s="5" customFormat="1" ht="22.5" customHeight="1" thickBot="1" x14ac:dyDescent="0.35">
      <c r="A30" s="106" t="s">
        <v>12</v>
      </c>
      <c r="B30" s="107"/>
      <c r="C30" s="108" t="s">
        <v>35</v>
      </c>
      <c r="D30" s="109"/>
      <c r="E30" s="9" t="s">
        <v>13</v>
      </c>
      <c r="F30" s="12"/>
      <c r="G30" s="12"/>
    </row>
    <row r="31" spans="1:13" ht="22.5" customHeight="1" x14ac:dyDescent="0.3">
      <c r="A31" s="39"/>
      <c r="B31" s="39"/>
      <c r="C31" s="40"/>
      <c r="D31" s="40"/>
      <c r="E31" s="41"/>
      <c r="F31" s="3"/>
      <c r="G31" s="3"/>
      <c r="H31" s="41"/>
      <c r="I31" s="41"/>
      <c r="J31" s="41"/>
      <c r="K31" s="41"/>
      <c r="L31" s="41"/>
      <c r="M31" s="41"/>
    </row>
    <row r="32" spans="1:13" s="5" customFormat="1" ht="22.5" customHeight="1" thickBot="1" x14ac:dyDescent="0.35">
      <c r="A32" s="58" t="s">
        <v>14</v>
      </c>
      <c r="B32" s="58"/>
      <c r="C32" s="58"/>
      <c r="D32" s="58"/>
      <c r="E32" s="58"/>
      <c r="F32" s="58"/>
      <c r="G32" s="58"/>
      <c r="H32" s="58"/>
      <c r="I32" s="58"/>
    </row>
    <row r="33" spans="1:9" s="19" customFormat="1" ht="28.5" customHeight="1" x14ac:dyDescent="0.25">
      <c r="A33" s="13" t="s">
        <v>15</v>
      </c>
      <c r="B33" s="14"/>
      <c r="C33" s="14"/>
      <c r="D33" s="15">
        <f>H26</f>
        <v>0</v>
      </c>
      <c r="E33" s="14" t="s">
        <v>37</v>
      </c>
      <c r="F33" s="16"/>
      <c r="G33" s="17" t="str">
        <f>I26</f>
        <v/>
      </c>
      <c r="H33" s="14" t="s">
        <v>16</v>
      </c>
      <c r="I33" s="18"/>
    </row>
    <row r="34" spans="1:9" s="22" customFormat="1" ht="28.5" customHeight="1" thickBot="1" x14ac:dyDescent="0.3">
      <c r="A34" s="42" t="b">
        <f>+IF(G33=A30,E30,IF(G33=A28,E28,IF(G33=A29,E29)))</f>
        <v>0</v>
      </c>
      <c r="B34" s="43"/>
      <c r="C34" s="43"/>
      <c r="D34" s="43"/>
      <c r="E34" s="43"/>
      <c r="F34" s="20"/>
      <c r="G34" s="20"/>
      <c r="H34" s="20"/>
      <c r="I34" s="21"/>
    </row>
    <row r="35" spans="1:9" s="22" customFormat="1" ht="28.5" customHeight="1" thickBot="1" x14ac:dyDescent="0.35">
      <c r="A35" s="58" t="s">
        <v>42</v>
      </c>
      <c r="B35" s="58"/>
      <c r="C35" s="58"/>
      <c r="D35" s="58"/>
      <c r="E35" s="58"/>
      <c r="F35" s="58"/>
      <c r="G35" s="58"/>
      <c r="H35" s="58"/>
      <c r="I35" s="58"/>
    </row>
    <row r="36" spans="1:9" s="22" customFormat="1" ht="28.5" customHeight="1" x14ac:dyDescent="0.25">
      <c r="A36" s="52"/>
      <c r="B36" s="53"/>
      <c r="C36" s="53"/>
      <c r="D36" s="53"/>
      <c r="E36" s="53"/>
      <c r="F36" s="53"/>
      <c r="G36" s="53"/>
      <c r="H36" s="53"/>
      <c r="I36" s="54"/>
    </row>
    <row r="37" spans="1:9" s="22" customFormat="1" ht="28.5" customHeight="1" x14ac:dyDescent="0.25">
      <c r="A37" s="121"/>
      <c r="B37" s="122"/>
      <c r="C37" s="122"/>
      <c r="D37" s="122"/>
      <c r="E37" s="122"/>
      <c r="F37" s="122"/>
      <c r="G37" s="122"/>
      <c r="H37" s="122"/>
      <c r="I37" s="123"/>
    </row>
    <row r="38" spans="1:9" s="5" customFormat="1" ht="22.5" customHeight="1" thickBot="1" x14ac:dyDescent="0.3">
      <c r="A38" s="55"/>
      <c r="B38" s="56"/>
      <c r="C38" s="56"/>
      <c r="D38" s="56"/>
      <c r="E38" s="56"/>
      <c r="F38" s="56"/>
      <c r="G38" s="56"/>
      <c r="H38" s="56"/>
      <c r="I38" s="57"/>
    </row>
    <row r="39" spans="1:9" s="5" customFormat="1" ht="22.5" customHeight="1" x14ac:dyDescent="0.25">
      <c r="A39" s="120"/>
      <c r="B39" s="120"/>
      <c r="C39" s="120"/>
      <c r="D39" s="120"/>
      <c r="E39" s="120"/>
      <c r="F39" s="120"/>
      <c r="G39" s="120"/>
      <c r="H39" s="120"/>
      <c r="I39" s="120"/>
    </row>
    <row r="40" spans="1:9" s="7" customFormat="1" ht="22.5" customHeight="1" x14ac:dyDescent="0.25">
      <c r="A40" s="24" t="s">
        <v>17</v>
      </c>
      <c r="F40" s="25"/>
      <c r="G40" s="25"/>
      <c r="H40" s="25"/>
      <c r="I40" s="25"/>
    </row>
    <row r="41" spans="1:9" s="7" customFormat="1" ht="22.5" customHeight="1" x14ac:dyDescent="0.25">
      <c r="A41" s="24"/>
      <c r="F41" s="25"/>
      <c r="G41" s="25"/>
      <c r="H41" s="25"/>
      <c r="I41" s="25"/>
    </row>
    <row r="42" spans="1:9" s="7" customFormat="1" ht="24" customHeight="1" x14ac:dyDescent="0.25">
      <c r="A42" s="24" t="s">
        <v>18</v>
      </c>
      <c r="F42" s="25"/>
      <c r="G42" s="25"/>
      <c r="H42" s="25"/>
      <c r="I42" s="25"/>
    </row>
  </sheetData>
  <protectedRanges>
    <protectedRange password="D5E7" sqref="H21:I25" name="RESULTADO Y OBSERVACION"/>
  </protectedRanges>
  <mergeCells count="33">
    <mergeCell ref="A19:I19"/>
    <mergeCell ref="A30:B30"/>
    <mergeCell ref="C30:D30"/>
    <mergeCell ref="A32:I32"/>
    <mergeCell ref="B24:G24"/>
    <mergeCell ref="B25:G25"/>
    <mergeCell ref="A27:B27"/>
    <mergeCell ref="C27:D27"/>
    <mergeCell ref="A28:B28"/>
    <mergeCell ref="C28:D28"/>
    <mergeCell ref="A29:B29"/>
    <mergeCell ref="C29:D29"/>
    <mergeCell ref="A13:H13"/>
    <mergeCell ref="A14:H14"/>
    <mergeCell ref="A15:H15"/>
    <mergeCell ref="A16:H16"/>
    <mergeCell ref="A17:H17"/>
    <mergeCell ref="A36:I38"/>
    <mergeCell ref="A35:I35"/>
    <mergeCell ref="A1:B3"/>
    <mergeCell ref="C1:H3"/>
    <mergeCell ref="A6:B6"/>
    <mergeCell ref="C6:I6"/>
    <mergeCell ref="A7:B7"/>
    <mergeCell ref="C7:G7"/>
    <mergeCell ref="B23:G23"/>
    <mergeCell ref="A8:B8"/>
    <mergeCell ref="C8:I8"/>
    <mergeCell ref="A10:I10"/>
    <mergeCell ref="A12:I12"/>
    <mergeCell ref="B20:G20"/>
    <mergeCell ref="B21:G21"/>
    <mergeCell ref="B22:G22"/>
  </mergeCells>
  <dataValidations count="1">
    <dataValidation type="list" allowBlank="1" showInputMessage="1" showErrorMessage="1" sqref="A1:B3">
      <formula1>$P$1:$P$3</formula1>
    </dataValidation>
  </dataValidations>
  <pageMargins left="0.31496062992125984" right="0.27559055118110237" top="0.74803149606299213" bottom="0.74803149606299213" header="0.31496062992125984" footer="0.31496062992125984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PROPUESTA (2)</vt:lpstr>
      <vt:lpstr>'PROPUESTA (2)'!Área_de_impresión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Tapia; Osmary Marquez</dc:creator>
  <cp:lastModifiedBy>Johanner Carrizalez</cp:lastModifiedBy>
  <cp:lastPrinted>2018-11-09T13:44:59Z</cp:lastPrinted>
  <dcterms:created xsi:type="dcterms:W3CDTF">2016-07-07T15:23:38Z</dcterms:created>
  <dcterms:modified xsi:type="dcterms:W3CDTF">2018-11-09T14:12:57Z</dcterms:modified>
</cp:coreProperties>
</file>